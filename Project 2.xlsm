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431" codeName="{B1203076-2D4D-A25B-A398-973B695A806A}"/>
  <workbookPr filterPrivacy="1" codeName="ThisWorkbook"/>
  <bookViews>
    <workbookView xWindow="0" yWindow="0" windowWidth="22260" windowHeight="12648" xr2:uid="{00000000-000D-0000-FFFF-FFFF00000000}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" i="1" l="1"/>
  <c r="C6" i="1" l="1"/>
</calcChain>
</file>

<file path=xl/sharedStrings.xml><?xml version="1.0" encoding="utf-8"?>
<sst xmlns="http://schemas.openxmlformats.org/spreadsheetml/2006/main" count="26" uniqueCount="22">
  <si>
    <t>Pressure</t>
  </si>
  <si>
    <t>Sw</t>
  </si>
  <si>
    <t>So</t>
  </si>
  <si>
    <t>Sg</t>
  </si>
  <si>
    <t>Initial Conditions</t>
  </si>
  <si>
    <t>Volume</t>
  </si>
  <si>
    <t>cr</t>
  </si>
  <si>
    <t>co</t>
  </si>
  <si>
    <t>cg</t>
  </si>
  <si>
    <t>cw</t>
  </si>
  <si>
    <t>Boref</t>
  </si>
  <si>
    <t>Bwref</t>
  </si>
  <si>
    <t>Bgref</t>
  </si>
  <si>
    <t>Production</t>
  </si>
  <si>
    <t>Qo</t>
  </si>
  <si>
    <t>Qg</t>
  </si>
  <si>
    <t>Qw</t>
  </si>
  <si>
    <t>Final Conditions</t>
  </si>
  <si>
    <t>P2 guess</t>
  </si>
  <si>
    <t>So2 guess</t>
  </si>
  <si>
    <t>Sw2 guess</t>
  </si>
  <si>
    <t>Tolerance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</si>
</sst>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3"/>
  <sheetViews>
    <sheetView tabSelected="1" workbookViewId="0">
      <selection activeCell="C20" sqref="C20"/>
    </sheetView>
  </sheetViews>
  <sheetFormatPr defaultRowHeight="14.4" x14ac:dyDescent="0.3"/>
  <cols>
    <col min="1" max="1" width="8.88671875" style="7"/>
    <col min="2" max="2" width="14.33203125" style="7" customWidth="1"/>
    <col min="3" max="3" width="17.5546875" style="7" customWidth="1"/>
    <col min="4" max="4" width="14.21875" style="7" customWidth="1"/>
    <col min="5" max="5" width="17.88671875" style="7" customWidth="1"/>
    <col min="6" max="11" width="8.88671875" style="7"/>
    <col min="12" max="16384" width="8.88671875" style="2"/>
  </cols>
  <sheetData>
    <row r="1" spans="2:5" x14ac:dyDescent="0.3">
      <c r="B1" s="1" t="s">
        <v>4</v>
      </c>
      <c r="C1" s="1"/>
      <c r="D1" s="1" t="s">
        <v>13</v>
      </c>
      <c r="E1" s="1"/>
    </row>
    <row r="2" spans="2:5" x14ac:dyDescent="0.3">
      <c r="B2" s="3" t="s">
        <v>5</v>
      </c>
      <c r="C2" s="4">
        <v>23000000</v>
      </c>
      <c r="D2" s="3" t="s">
        <v>14</v>
      </c>
      <c r="E2" s="4">
        <v>200</v>
      </c>
    </row>
    <row r="3" spans="2:5" x14ac:dyDescent="0.3">
      <c r="B3" s="3" t="s">
        <v>0</v>
      </c>
      <c r="C3" s="4">
        <v>5000</v>
      </c>
      <c r="D3" s="3" t="s">
        <v>15</v>
      </c>
      <c r="E3" s="4">
        <v>10000</v>
      </c>
    </row>
    <row r="4" spans="2:5" x14ac:dyDescent="0.3">
      <c r="B4" s="3" t="s">
        <v>1</v>
      </c>
      <c r="C4" s="4">
        <v>0.6</v>
      </c>
      <c r="D4" s="3" t="s">
        <v>16</v>
      </c>
      <c r="E4" s="4">
        <v>400</v>
      </c>
    </row>
    <row r="5" spans="2:5" x14ac:dyDescent="0.3">
      <c r="B5" s="3" t="s">
        <v>2</v>
      </c>
      <c r="C5" s="4">
        <v>0.15</v>
      </c>
      <c r="D5" s="3" t="s">
        <v>18</v>
      </c>
      <c r="E5" s="4">
        <v>4000</v>
      </c>
    </row>
    <row r="6" spans="2:5" x14ac:dyDescent="0.3">
      <c r="B6" s="3" t="s">
        <v>3</v>
      </c>
      <c r="C6" s="5">
        <f>1-(C5+C4)</f>
        <v>0.25</v>
      </c>
      <c r="D6" s="3" t="s">
        <v>19</v>
      </c>
      <c r="E6" s="4">
        <v>0.3</v>
      </c>
    </row>
    <row r="7" spans="2:5" x14ac:dyDescent="0.3">
      <c r="B7" s="3" t="s">
        <v>6</v>
      </c>
      <c r="C7" s="4">
        <v>5.0000000000000004E-6</v>
      </c>
      <c r="D7" s="3" t="s">
        <v>20</v>
      </c>
      <c r="E7" s="4">
        <v>0.5</v>
      </c>
    </row>
    <row r="8" spans="2:5" x14ac:dyDescent="0.3">
      <c r="B8" s="3" t="s">
        <v>7</v>
      </c>
      <c r="C8" s="4">
        <v>5.0000000000000001E-4</v>
      </c>
      <c r="D8" s="3" t="s">
        <v>21</v>
      </c>
      <c r="E8" s="4">
        <v>1E-3</v>
      </c>
    </row>
    <row r="9" spans="2:5" x14ac:dyDescent="0.3">
      <c r="B9" s="3" t="s">
        <v>8</v>
      </c>
      <c r="C9" s="4">
        <v>0.1</v>
      </c>
      <c r="D9" s="1" t="s">
        <v>17</v>
      </c>
      <c r="E9" s="1"/>
    </row>
    <row r="10" spans="2:5" x14ac:dyDescent="0.3">
      <c r="B10" s="3" t="s">
        <v>9</v>
      </c>
      <c r="C10" s="4">
        <v>6.9999999999999999E-4</v>
      </c>
      <c r="D10" s="3" t="s">
        <v>0</v>
      </c>
      <c r="E10" s="6">
        <v>3848.782400293218</v>
      </c>
    </row>
    <row r="11" spans="2:5" x14ac:dyDescent="0.3">
      <c r="B11" s="3" t="s">
        <v>10</v>
      </c>
      <c r="C11" s="4">
        <v>1.2</v>
      </c>
      <c r="D11" s="3" t="s">
        <v>1</v>
      </c>
      <c r="E11" s="6">
        <v>-0.55544908672535187</v>
      </c>
    </row>
    <row r="12" spans="2:5" x14ac:dyDescent="0.3">
      <c r="B12" s="3" t="s">
        <v>11</v>
      </c>
      <c r="C12" s="4">
        <v>1.1000000000000001</v>
      </c>
      <c r="D12" s="3" t="s">
        <v>2</v>
      </c>
      <c r="E12" s="6">
        <v>-0.15918482424223007</v>
      </c>
    </row>
    <row r="13" spans="2:5" x14ac:dyDescent="0.3">
      <c r="B13" s="3" t="s">
        <v>12</v>
      </c>
      <c r="C13" s="4">
        <v>3.5E-4</v>
      </c>
      <c r="D13" s="3" t="s">
        <v>3</v>
      </c>
      <c r="E13" s="6">
        <f>1-(E11+E12)</f>
        <v>1.7146339109675819</v>
      </c>
    </row>
  </sheetData>
  <mergeCells count="3">
    <mergeCell ref="B1:C1"/>
    <mergeCell ref="D1:E1"/>
    <mergeCell ref="D9:E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2017-10-16T06:05:40Z</dcterms:modified>
</cp:coreProperties>
</file>