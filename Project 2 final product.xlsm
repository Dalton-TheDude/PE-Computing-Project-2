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filterPrivacy="1" codeName="ThisWorkbook"/>
  <bookViews>
    <workbookView xWindow="0" yWindow="0" windowWidth="22260" windowHeight="12648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E13" i="1" l="1"/>
  <c r="C6" i="1" l="1"/>
</calcChain>
</file>

<file path=xl/sharedStrings.xml><?xml version="1.0" encoding="utf-8"?>
<sst xmlns="http://schemas.openxmlformats.org/spreadsheetml/2006/main" count="26" uniqueCount="22">
  <si>
    <t>Pressure</t>
  </si>
  <si>
    <t>Sw</t>
  </si>
  <si>
    <t>So</t>
  </si>
  <si>
    <t>Sg</t>
  </si>
  <si>
    <t>Initial Conditions</t>
  </si>
  <si>
    <t>Volume</t>
  </si>
  <si>
    <t>cr</t>
  </si>
  <si>
    <t>co</t>
  </si>
  <si>
    <t>cg</t>
  </si>
  <si>
    <t>cw</t>
  </si>
  <si>
    <t>Boref</t>
  </si>
  <si>
    <t>Bwref</t>
  </si>
  <si>
    <t>Bgref</t>
  </si>
  <si>
    <t>Production</t>
  </si>
  <si>
    <t>Qo</t>
  </si>
  <si>
    <t>Qg</t>
  </si>
  <si>
    <t>Qw</t>
  </si>
  <si>
    <t>Final Conditions</t>
  </si>
  <si>
    <t>P2 guess</t>
  </si>
  <si>
    <t>So2 guess</t>
  </si>
  <si>
    <t>Sw2 guess</t>
  </si>
  <si>
    <t>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</si>
</sst>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Residual</a:t>
            </a:r>
            <a:r>
              <a:rPr lang="en-US" baseline="0"/>
              <a:t> vs Iteration Number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Sheet1!$Z:$Z</c:f>
              <c:numCache>
                <c:formatCode>General</c:formatCode>
                <c:ptCount val="10485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1000">
                  <c:v>1001</c:v>
                </c:pt>
              </c:numCache>
            </c:numRef>
          </c:xVal>
          <c:yVal>
            <c:numRef>
              <c:f>Sheet1!$AA:$AA</c:f>
              <c:numCache>
                <c:formatCode>General</c:formatCode>
                <c:ptCount val="1048576"/>
                <c:pt idx="0">
                  <c:v>51803571.428805791</c:v>
                </c:pt>
                <c:pt idx="1">
                  <c:v>2.7738283847611456E-7</c:v>
                </c:pt>
                <c:pt idx="2">
                  <c:v>-1.3855583347321954E-12</c:v>
                </c:pt>
                <c:pt idx="1000">
                  <c:v>4.1698542434431829E-4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CA-4C90-A398-FB833223D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004296"/>
        <c:axId val="403684016"/>
      </c:scatterChart>
      <c:valAx>
        <c:axId val="400004296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84016"/>
        <c:crosses val="autoZero"/>
        <c:crossBetween val="midCat"/>
      </c:valAx>
      <c:valAx>
        <c:axId val="40368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04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Residual</a:t>
            </a:r>
            <a:r>
              <a:rPr lang="en-US" baseline="0"/>
              <a:t> vs Iteration Number (y-axis log)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Sheet1!$Z:$Z</c:f>
              <c:numCache>
                <c:formatCode>General</c:formatCode>
                <c:ptCount val="10485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1000">
                  <c:v>1001</c:v>
                </c:pt>
              </c:numCache>
            </c:numRef>
          </c:xVal>
          <c:yVal>
            <c:numRef>
              <c:f>Sheet1!$AA:$AA</c:f>
              <c:numCache>
                <c:formatCode>General</c:formatCode>
                <c:ptCount val="1048576"/>
                <c:pt idx="0">
                  <c:v>51803571.428805791</c:v>
                </c:pt>
                <c:pt idx="1">
                  <c:v>2.7738283847611456E-7</c:v>
                </c:pt>
                <c:pt idx="2">
                  <c:v>-1.3855583347321954E-12</c:v>
                </c:pt>
                <c:pt idx="1000">
                  <c:v>4.1698542434431829E-4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C8-4187-9AF2-5AD42412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004296"/>
        <c:axId val="403684016"/>
      </c:scatterChart>
      <c:valAx>
        <c:axId val="400004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84016"/>
        <c:crosses val="autoZero"/>
        <c:crossBetween val="midCat"/>
      </c:valAx>
      <c:valAx>
        <c:axId val="40368401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04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Residual</a:t>
            </a:r>
            <a:r>
              <a:rPr lang="en-US" baseline="0"/>
              <a:t> vs Iteration Number (log-log)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Sheet1!$Z:$Z</c:f>
              <c:numCache>
                <c:formatCode>General</c:formatCode>
                <c:ptCount val="10485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1000">
                  <c:v>1001</c:v>
                </c:pt>
              </c:numCache>
            </c:numRef>
          </c:xVal>
          <c:yVal>
            <c:numRef>
              <c:f>Sheet1!$AA:$AA</c:f>
              <c:numCache>
                <c:formatCode>General</c:formatCode>
                <c:ptCount val="1048576"/>
                <c:pt idx="0">
                  <c:v>51803571.428805791</c:v>
                </c:pt>
                <c:pt idx="1">
                  <c:v>2.7738283847611456E-7</c:v>
                </c:pt>
                <c:pt idx="2">
                  <c:v>-1.3855583347321954E-12</c:v>
                </c:pt>
                <c:pt idx="1000">
                  <c:v>4.1698542434431829E-4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29-408D-97C0-B1BEE3373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004296"/>
        <c:axId val="403684016"/>
      </c:scatterChart>
      <c:valAx>
        <c:axId val="40000429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84016"/>
        <c:crosses val="autoZero"/>
        <c:crossBetween val="midCat"/>
      </c:valAx>
      <c:valAx>
        <c:axId val="40368401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04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594360</xdr:colOff>
      <xdr:row>0</xdr:row>
      <xdr:rowOff>179070</xdr:rowOff>
    </xdr:from>
    <xdr:to>
      <xdr:col>13</xdr:col>
      <xdr:colOff>289560</xdr:colOff>
      <xdr:row>15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8B08CC-2449-41FF-B9E9-6B9CF4EF84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16</xdr:row>
      <xdr:rowOff>0</xdr:rowOff>
    </xdr:from>
    <xdr:to>
      <xdr:col>13</xdr:col>
      <xdr:colOff>304800</xdr:colOff>
      <xdr:row>31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094B38F-0B35-4F9F-AF59-5E818E7EE6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31</xdr:row>
      <xdr:rowOff>0</xdr:rowOff>
    </xdr:from>
    <xdr:to>
      <xdr:col>13</xdr:col>
      <xdr:colOff>304800</xdr:colOff>
      <xdr:row>46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132776-6612-4B1A-A013-D9D54A6EBA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0</xdr:row>
          <xdr:rowOff>60960</xdr:rowOff>
        </xdr:from>
        <xdr:to>
          <xdr:col>0</xdr:col>
          <xdr:colOff>525780</xdr:colOff>
          <xdr:row>2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0C62E05-6976-4222-A142-9E9377F15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1"/>
  <sheetViews>
    <sheetView tabSelected="1" workbookViewId="0">
      <selection activeCell="E5" sqref="E5"/>
    </sheetView>
  </sheetViews>
  <sheetFormatPr defaultRowHeight="14.4" x14ac:dyDescent="0.3"/>
  <cols>
    <col min="1" max="1" width="8.88671875" style="2"/>
    <col min="2" max="2" width="14.33203125" style="2" customWidth="1"/>
    <col min="3" max="3" width="17.5546875" style="2" customWidth="1"/>
    <col min="4" max="4" width="14.21875" style="2" customWidth="1"/>
    <col min="5" max="5" width="17.88671875" style="2" customWidth="1"/>
    <col min="6" max="11" width="8.88671875" style="2"/>
    <col min="12" max="16384" width="8.88671875" style="3"/>
  </cols>
  <sheetData>
    <row r="1" spans="2:27" x14ac:dyDescent="0.3">
      <c r="B1" s="1" t="s">
        <v>4</v>
      </c>
      <c r="C1" s="1"/>
      <c r="D1" s="1" t="s">
        <v>13</v>
      </c>
      <c r="E1" s="1"/>
      <c r="Z1" s="3">
        <v>1</v>
      </c>
      <c r="AA1" s="3">
        <v>51803571.428805791</v>
      </c>
    </row>
    <row r="2" spans="2:27" x14ac:dyDescent="0.3">
      <c r="B2" s="4" t="s">
        <v>5</v>
      </c>
      <c r="C2" s="5">
        <v>1000000</v>
      </c>
      <c r="D2" s="4" t="s">
        <v>14</v>
      </c>
      <c r="E2" s="5">
        <v>500</v>
      </c>
      <c r="Z2" s="3">
        <v>2</v>
      </c>
      <c r="AA2" s="3">
        <v>2.7738283847611456E-7</v>
      </c>
    </row>
    <row r="3" spans="2:27" x14ac:dyDescent="0.3">
      <c r="B3" s="4" t="s">
        <v>0</v>
      </c>
      <c r="C3" s="5">
        <v>5000</v>
      </c>
      <c r="D3" s="4" t="s">
        <v>15</v>
      </c>
      <c r="E3" s="5">
        <v>4000000</v>
      </c>
      <c r="Z3" s="3">
        <v>3</v>
      </c>
      <c r="AA3" s="3">
        <v>-1.3855583347321954E-12</v>
      </c>
    </row>
    <row r="4" spans="2:27" x14ac:dyDescent="0.3">
      <c r="B4" s="4" t="s">
        <v>1</v>
      </c>
      <c r="C4" s="5">
        <v>0.4</v>
      </c>
      <c r="D4" s="4" t="s">
        <v>16</v>
      </c>
      <c r="E4" s="5">
        <v>1000</v>
      </c>
    </row>
    <row r="5" spans="2:27" x14ac:dyDescent="0.3">
      <c r="B5" s="4" t="s">
        <v>2</v>
      </c>
      <c r="C5" s="5">
        <v>0.5</v>
      </c>
      <c r="D5" s="4" t="s">
        <v>18</v>
      </c>
      <c r="E5" s="5">
        <v>2500</v>
      </c>
    </row>
    <row r="6" spans="2:27" x14ac:dyDescent="0.3">
      <c r="B6" s="4" t="s">
        <v>3</v>
      </c>
      <c r="C6" s="6">
        <f>1-(C5+C4)</f>
        <v>9.9999999999999978E-2</v>
      </c>
      <c r="D6" s="4" t="s">
        <v>19</v>
      </c>
      <c r="E6" s="5">
        <v>0.3</v>
      </c>
    </row>
    <row r="7" spans="2:27" x14ac:dyDescent="0.3">
      <c r="B7" s="4" t="s">
        <v>6</v>
      </c>
      <c r="C7" s="5">
        <v>1.2E-15</v>
      </c>
      <c r="D7" s="4" t="s">
        <v>20</v>
      </c>
      <c r="E7" s="5">
        <v>0.4</v>
      </c>
    </row>
    <row r="8" spans="2:27" x14ac:dyDescent="0.3">
      <c r="B8" s="4" t="s">
        <v>7</v>
      </c>
      <c r="C8" s="5">
        <v>9.9999999999999995E-8</v>
      </c>
      <c r="D8" s="4" t="s">
        <v>21</v>
      </c>
      <c r="E8" s="5">
        <v>1.0000000000000001E-9</v>
      </c>
    </row>
    <row r="9" spans="2:27" x14ac:dyDescent="0.3">
      <c r="B9" s="4" t="s">
        <v>8</v>
      </c>
      <c r="C9" s="5">
        <f>10^-3</f>
        <v>1E-3</v>
      </c>
      <c r="D9" s="1" t="s">
        <v>17</v>
      </c>
      <c r="E9" s="1"/>
    </row>
    <row r="10" spans="2:27" x14ac:dyDescent="0.3">
      <c r="B10" s="4" t="s">
        <v>9</v>
      </c>
      <c r="C10" s="5">
        <v>1E-13</v>
      </c>
      <c r="D10" s="4" t="s">
        <v>0</v>
      </c>
      <c r="E10" s="7">
        <v>4824.6986464146203</v>
      </c>
    </row>
    <row r="11" spans="2:27" x14ac:dyDescent="0.3">
      <c r="B11" s="4" t="s">
        <v>10</v>
      </c>
      <c r="C11" s="5">
        <v>1.2</v>
      </c>
      <c r="D11" s="4" t="s">
        <v>1</v>
      </c>
      <c r="E11" s="7">
        <v>0.39600000000783492</v>
      </c>
    </row>
    <row r="12" spans="2:27" x14ac:dyDescent="0.3">
      <c r="B12" s="4" t="s">
        <v>11</v>
      </c>
      <c r="C12" s="5">
        <v>1</v>
      </c>
      <c r="D12" s="4" t="s">
        <v>2</v>
      </c>
      <c r="E12" s="7">
        <v>0.49760920303043882</v>
      </c>
    </row>
    <row r="13" spans="2:27" x14ac:dyDescent="0.3">
      <c r="B13" s="4" t="s">
        <v>12</v>
      </c>
      <c r="C13" s="5">
        <v>1.4E-3</v>
      </c>
      <c r="D13" s="4" t="s">
        <v>3</v>
      </c>
      <c r="E13" s="7">
        <f>1-(E11+E12)</f>
        <v>0.10639079696172626</v>
      </c>
    </row>
    <row r="1001" spans="26:27" x14ac:dyDescent="0.3">
      <c r="Z1001" s="3">
        <v>1001</v>
      </c>
      <c r="AA1001" s="3">
        <v>4.1698542434431829E-4</v>
      </c>
    </row>
  </sheetData>
  <mergeCells count="3">
    <mergeCell ref="B1:C1"/>
    <mergeCell ref="D1:E1"/>
    <mergeCell ref="D9:E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terial_Balance">
                <anchor moveWithCells="1" sizeWithCells="1">
                  <from>
                    <xdr:col>0</xdr:col>
                    <xdr:colOff>91440</xdr:colOff>
                    <xdr:row>0</xdr:row>
                    <xdr:rowOff>60960</xdr:rowOff>
                  </from>
                  <to>
                    <xdr:col>0</xdr:col>
                    <xdr:colOff>525780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2017-10-20T04:54:45Z</dcterms:modified>
</cp:coreProperties>
</file>